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8_{4FBEB960-5F25-4412-8464-C8E0B977DD2F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C30" i="18"/>
  <c r="D30" i="18"/>
  <c r="E30" i="18"/>
  <c r="F30" i="18"/>
  <c r="B30" i="18"/>
  <c r="C29" i="18"/>
  <c r="D29" i="18"/>
  <c r="E29" i="18"/>
  <c r="F29" i="18"/>
  <c r="B29" i="18"/>
  <c r="F28" i="18"/>
  <c r="D28" i="18"/>
  <c r="E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<sst xmlns="http://schemas.openxmlformats.org/spreadsheetml/2006/main" count="408" uniqueCount="185">
  <si>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</si>
  <si>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</si>
  <si>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</si>
  <si>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</si>
  <si>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</si>
  <si>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</si>
  <si>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</si>
  <si>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</si>
  <si>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</si>
  <si>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</si>
  <si>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</si>
  <si>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</si>
  <si>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</si>
  <si>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</si>
  <si>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</si>
  <si>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</si>
  <si>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</si>
  <si>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</si>
  <si>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</si>
  <si>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</si>
  <si>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</si>
  <si>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</si>
  <si>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</si>
  <si>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</si>
  <si>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</si>
  <si>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</si>
  <si>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</si>
  <si>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</si>
  <si>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</si>
  <si>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</si>
  <si>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</si>
  <si>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</si>
  <si>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</si>
  <si>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</si>
  <si>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</si>
  <si>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</si>
  <si>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</si>
  <si>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</si>
  <si>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</si>
  <si>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</si>
  <si>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</si>
  <si>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</si>
  <si>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</si>
  <si>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</si>
  <si>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</si>
  <si>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</si>
  <si>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</si>
  <si>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</si>
  <si>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</si>
  <si>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</si>
  <si>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</si>
  <si>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</si>
  <si>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</si>
  <si>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</si>
  <si>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</si>
  <si>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</si>
  <si>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</si>
  <si>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</si>
  <si>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</si>
  <si>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</si>
  <si>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</si>
  <si>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</si>
  <si>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</si>
  <si>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</si>
  <si>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</si>
  <si>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</si>
  <si>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</si>
  <si>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</si>
  <si>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</si>
  <si>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</si>
  <si>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</si>
  <si>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</si>
  <si>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</si>
  <si>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</si>
  <si>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</si>
  <si>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</si>
  <si>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</si>
  <si>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</si>
  <si>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</si>
  <si>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</si>
  <si>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</si>
  <si>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</si>
  <si>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</si>
  <si>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</si>
  <si>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</si>
  <si>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</si>
  <si>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</si>
  <si>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</si>
  <si>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</si>
  <si>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</si>
  <si>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</si>
  <si>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</si>
  <si>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</si>
  <si>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</si>
  <si>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</si>
  <si>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</si>
  <si>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</si>
  <si>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</si>
  <si>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</si>
  <si>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</si>
  <si>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</si>
  <si>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</si>
  <si>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</si>
  <si>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</si>
  <si>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</si>
  <si>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</si>
  <si>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</si>
  <si>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</si>
  <si>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</si>
  <si>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</si>
  <si>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</si>
  <si>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</si>
  <si>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</si>
  <si>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</si>
  <si>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</si>
  <si>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</si>
  <si>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</si>
  <si>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</si>
  <si>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</si>
  <si>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</si>
  <si>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</si>
  <si>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</si>
  <si>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</si>
  <si>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</si>
  <si>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</si>
  <si>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</si>
  <si>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</si>
  <si>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</si>
  <si>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</si>
  <si>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</si>
  <si>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</si>
  <si>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</si>
  <si>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</si>
  <si>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</si>
  <si>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</si>
  <si>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</si>
  <si>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</si>
  <si>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</si>
  <si>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</si>
  <si>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</si>
  <si>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</si>
  <si>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</si>
  <si>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</si>
  <si>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</si>
  <si>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</si>
  <si>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</si>
  <si>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</si>
  <si>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</si>
  <si>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</si>
  <si>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</si>
  <si>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</si>
  <si>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</si>
  <si>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</si>
  <si>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</si>
  <si>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</si>
  <si>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</si>
  <si>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</si>
  <si>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</si>
  <si>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</si>
  <si>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</si>
  <si>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</si>
  <si>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</si>
  <si>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</si>
  <si>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</si>
  <si>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</si>
  <si>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</si>
  <si>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</si>
  <si>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</si>
  <si>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</si>
  <si>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</si>
  <si>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</si>
  <si>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</si>
  <si>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</si>
  <si>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</si>
  <si>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</si>
  <si>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</si>
  <si>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</si>
  <si>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</si>
  <si>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 =SUMIF(H2:H40,"&gt;20")</t>
  </si>
  <si>
    <t xml:space="preserve">I have find the #N/A Error and replace it with 20 </t>
  </si>
  <si>
    <t xml:space="preserve">  </t>
  </si>
  <si>
    <t xml:space="preserve">I have selected data then go to data tab , then chose text to column option after that choose delimiter - , then click on finish  </t>
  </si>
  <si>
    <t xml:space="preserve">I have used built-in function </t>
  </si>
  <si>
    <t xml:space="preserve">I have used built-in function Find and Replace to substitute values </t>
  </si>
  <si>
    <t xml:space="preserve">then I used sum function to find sum of sales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</si>
</sst>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3" fillId="0" borderId="0" xfId="0" applyNumberFormat="1" applyFont="1"/>
    <xf numFmtId="0" fontId="7" fillId="5" borderId="1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9C0006"/>
      </font>
    </dxf>
    <dxf>
      <font>
        <color theme="9" tint="-0.499984740745262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Invisible" pivot="0" table="0" count="0" xr9:uid="{ECEE97DA-AE31-46EC-80D7-5973090B3F71}"/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5" x14ac:dyDescent="0.35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5" t="s">
        <v>172</v>
      </c>
      <c r="B9" s="26" t="s">
        <v>170</v>
      </c>
    </row>
    <row r="10" spans="1:3" x14ac:dyDescent="0.3">
      <c r="A10" s="34" t="s">
        <v>173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J1" zoomScaleNormal="100" workbookViewId="0">
      <pane ySplit="1" topLeftCell="A2" activePane="bottomLeft" state="frozen"/>
      <selection pane="bottomLeft" activeCell="A5" sqref="A5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35">
      <c r="H42" s="1">
        <f>SUMIF(H2:H40,"&gt;20")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2:W40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7" sqref="D7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5">
      <c r="A2" s="2"/>
      <c r="B2" s="5" t="s">
        <v>161</v>
      </c>
      <c r="C2" s="2"/>
    </row>
    <row r="3" spans="1:5" x14ac:dyDescent="0.3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3" t="s">
        <v>105</v>
      </c>
      <c r="D5" s="1" t="s">
        <v>178</v>
      </c>
      <c r="E5" s="1">
        <v>10</v>
      </c>
    </row>
    <row r="6" spans="1:5" x14ac:dyDescent="0.35">
      <c r="A6" s="6">
        <v>4</v>
      </c>
      <c r="B6" s="2" t="s">
        <v>107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33" sqref="F33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55</v>
      </c>
      <c r="B1" s="40" t="s">
        <v>165</v>
      </c>
    </row>
    <row r="2" spans="1:7" s="40" customFormat="1" ht="21" x14ac:dyDescent="0.5">
      <c r="B2" s="40" t="s">
        <v>162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163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VLOOKUP(A6,Dataset!A1:G40,7,FALSE)</f>
        <v>2.7</v>
      </c>
      <c r="C6" s="12">
        <f>VLOOKUP(A6,Dataset!A1:N40,14,FALSE)</f>
        <v>7.6</v>
      </c>
      <c r="D6" s="12">
        <f>VLOOKUP(A6,Dataset!A1:R40,18,FALSE)</f>
        <v>4.2</v>
      </c>
      <c r="E6" s="12">
        <f>VLOOKUP(A6,Dataset!A1:T40,20,FALSE)</f>
        <v>8.9</v>
      </c>
      <c r="F6" s="8">
        <f>VLOOKUP(A6,Dataset!A1:V40,22,FALSE)</f>
        <v>4.2</v>
      </c>
    </row>
    <row r="7" spans="1:7" ht="14.5" x14ac:dyDescent="0.35">
      <c r="A7" s="7" t="s">
        <v>4</v>
      </c>
      <c r="B7" s="12">
        <f>VLOOKUP(A7,Dataset!A2:G41,7,FALSE)</f>
        <v>2.7</v>
      </c>
      <c r="C7" s="12">
        <f>VLOOKUP(A7,Dataset!A2:N41,14,FALSE)</f>
        <v>7.6</v>
      </c>
      <c r="D7" s="12">
        <f>VLOOKUP(A7,Dataset!A2:R41,18,FALSE)</f>
        <v>4.2</v>
      </c>
      <c r="E7" s="12">
        <f>VLOOKUP(A7,Dataset!A2:T41,20,FALSE)</f>
        <v>8.9</v>
      </c>
      <c r="F7" s="8">
        <f>VLOOKUP(A7,Dataset!A2:V41,22,FALSE)</f>
        <v>4.2</v>
      </c>
    </row>
    <row r="8" spans="1:7" ht="14.5" x14ac:dyDescent="0.35">
      <c r="A8" s="7" t="s">
        <v>7</v>
      </c>
      <c r="B8" s="12">
        <f>VLOOKUP(A8,Dataset!A3:G42,7,FALSE)</f>
        <v>3.6</v>
      </c>
      <c r="C8" s="12">
        <f>VLOOKUP(A8,Dataset!A3:N42,14,FALSE)</f>
        <v>11.1</v>
      </c>
      <c r="D8" s="12">
        <f>VLOOKUP(A8,Dataset!A3:R42,18,FALSE)</f>
        <v>5.8</v>
      </c>
      <c r="E8" s="12">
        <f>VLOOKUP(A8,Dataset!A3:T42,20,FALSE)</f>
        <v>12.2</v>
      </c>
      <c r="F8" s="8">
        <f>VLOOKUP(A8,Dataset!A3:V42,22,FALSE)</f>
        <v>5.8</v>
      </c>
    </row>
    <row r="9" spans="1:7" ht="14.5" x14ac:dyDescent="0.35">
      <c r="A9" s="7" t="s">
        <v>8</v>
      </c>
      <c r="B9" s="12">
        <f>VLOOKUP(A9,Dataset!A4:G43,7,FALSE)</f>
        <v>4.9000000000000004</v>
      </c>
      <c r="C9" s="12">
        <f>VLOOKUP(A9,Dataset!A4:N43,14,FALSE)</f>
        <v>13.3</v>
      </c>
      <c r="D9" s="12">
        <f>VLOOKUP(A9,Dataset!A4:R43,18,FALSE)</f>
        <v>8.1</v>
      </c>
      <c r="E9" s="12">
        <f>VLOOKUP(A9,Dataset!A4:T43,20,FALSE)</f>
        <v>17</v>
      </c>
      <c r="F9" s="8">
        <f>VLOOKUP(A9,Dataset!A4:V43,22,FALSE)</f>
        <v>8.1</v>
      </c>
    </row>
    <row r="10" spans="1:7" ht="14.5" x14ac:dyDescent="0.35">
      <c r="A10" s="7" t="s">
        <v>11</v>
      </c>
      <c r="B10" s="12">
        <f>VLOOKUP(A10,Dataset!A5:G44,7,FALSE)</f>
        <v>9.4</v>
      </c>
      <c r="C10" s="12">
        <f>VLOOKUP(A10,Dataset!A5:N44,14,FALSE)</f>
        <v>28.3</v>
      </c>
      <c r="D10" s="12">
        <f>VLOOKUP(A10,Dataset!A5:R44,18,FALSE)</f>
        <v>16.100000000000001</v>
      </c>
      <c r="E10" s="12">
        <f>VLOOKUP(A10,Dataset!A5:T44,20,FALSE)</f>
        <v>32.799999999999997</v>
      </c>
      <c r="F10" s="8">
        <f>VLOOKUP(A10,Dataset!A5:V44,22,FALSE)</f>
        <v>16.100000000000001</v>
      </c>
    </row>
    <row r="11" spans="1:7" ht="14.5" x14ac:dyDescent="0.35">
      <c r="A11" s="7" t="s">
        <v>12</v>
      </c>
      <c r="B11" s="12">
        <f>VLOOKUP(A11,Dataset!A6:G45,7,FALSE)</f>
        <v>11.6</v>
      </c>
      <c r="C11" s="12">
        <f>VLOOKUP(A11,Dataset!A6:N45,14,FALSE)</f>
        <v>35.200000000000003</v>
      </c>
      <c r="D11" s="12">
        <f>VLOOKUP(A11,Dataset!A6:R45,18,FALSE)</f>
        <v>21.3</v>
      </c>
      <c r="E11" s="12">
        <f>VLOOKUP(A11,Dataset!A6:T45,20,FALSE)</f>
        <v>43</v>
      </c>
      <c r="F11" s="8">
        <f>VLOOKUP(A11,Dataset!A6:V45,22,FALSE)</f>
        <v>21.3</v>
      </c>
    </row>
    <row r="12" spans="1:7" ht="14.5" x14ac:dyDescent="0.35">
      <c r="A12" s="7" t="s">
        <v>14</v>
      </c>
      <c r="B12" s="12">
        <f>VLOOKUP(A12,Dataset!A7:G46,7,FALSE)</f>
        <v>18.399999999999999</v>
      </c>
      <c r="C12" s="12">
        <f>VLOOKUP(A12,Dataset!A7:N46,14,FALSE)</f>
        <v>55.6</v>
      </c>
      <c r="D12" s="12">
        <f>VLOOKUP(A12,Dataset!A7:R46,18,FALSE)</f>
        <v>33.799999999999997</v>
      </c>
      <c r="E12" s="12">
        <f>VLOOKUP(A12,Dataset!A7:T46,20,FALSE)</f>
        <v>67.900000000000006</v>
      </c>
      <c r="F12" s="8">
        <f>VLOOKUP(A12,Dataset!A7:V46,22,FALSE)</f>
        <v>33.799999999999997</v>
      </c>
    </row>
    <row r="13" spans="1:7" ht="14.5" x14ac:dyDescent="0.35">
      <c r="A13" s="7" t="s">
        <v>15</v>
      </c>
      <c r="B13" s="12">
        <f>VLOOKUP(A13,Dataset!A8:G47,7,FALSE)</f>
        <v>0</v>
      </c>
      <c r="C13" s="12">
        <f>VLOOKUP(A13,Dataset!A8:N47,14,FALSE)</f>
        <v>0</v>
      </c>
      <c r="D13" s="12">
        <f>VLOOKUP(A13,Dataset!A8:R47,18,FALSE)</f>
        <v>0</v>
      </c>
      <c r="E13" s="12">
        <f>VLOOKUP(A13,Dataset!A8:T47,20,FALSE)</f>
        <v>0</v>
      </c>
      <c r="F13" s="8">
        <f>VLOOKUP(A13,Dataset!A8:V47,22,FALSE)</f>
        <v>0</v>
      </c>
    </row>
    <row r="14" spans="1:7" ht="14.5" x14ac:dyDescent="0.35">
      <c r="A14" s="7" t="s">
        <v>16</v>
      </c>
      <c r="B14" s="12">
        <f>VLOOKUP(A14,Dataset!A9:G48,7,FALSE)</f>
        <v>21.9</v>
      </c>
      <c r="C14" s="12">
        <f>VLOOKUP(A14,Dataset!A9:N48,14,FALSE)</f>
        <v>61.5</v>
      </c>
      <c r="D14" s="12">
        <f>VLOOKUP(A14,Dataset!A9:R48,18,FALSE)</f>
        <v>40.1</v>
      </c>
      <c r="E14" s="12">
        <f>VLOOKUP(A14,Dataset!A9:T48,20,FALSE)</f>
        <v>76.599999999999994</v>
      </c>
      <c r="F14" s="8">
        <f>VLOOKUP(A14,Dataset!A9:V48,22,FALSE)</f>
        <v>40.1</v>
      </c>
    </row>
    <row r="15" spans="1:7" ht="14.5" x14ac:dyDescent="0.35">
      <c r="A15" s="7" t="s">
        <v>18</v>
      </c>
      <c r="B15" s="12">
        <f>VLOOKUP(A15,Dataset!A10:G49,7,FALSE)</f>
        <v>26.8</v>
      </c>
      <c r="C15" s="12">
        <f>VLOOKUP(A15,Dataset!A10:N49,14,FALSE)</f>
        <v>79.599999999999994</v>
      </c>
      <c r="D15" s="12">
        <f>VLOOKUP(A15,Dataset!A10:R49,18,FALSE)</f>
        <v>47.9</v>
      </c>
      <c r="E15" s="12">
        <f>VLOOKUP(A15,Dataset!A10:T49,20,FALSE)</f>
        <v>96.8</v>
      </c>
      <c r="F15" s="8">
        <f>VLOOKUP(A15,Dataset!A10:V49,22,FALSE)</f>
        <v>47.9</v>
      </c>
    </row>
    <row r="16" spans="1:7" ht="14.5" x14ac:dyDescent="0.35">
      <c r="A16" s="7" t="s">
        <v>20</v>
      </c>
      <c r="B16" s="12">
        <f>VLOOKUP(A16,Dataset!A11:G50,7,FALSE)</f>
        <v>28.5</v>
      </c>
      <c r="C16" s="12">
        <f>VLOOKUP(A16,Dataset!A11:N50,14,FALSE)</f>
        <v>85.4</v>
      </c>
      <c r="D16" s="12">
        <f>VLOOKUP(A16,Dataset!A11:R50,18,FALSE)</f>
        <v>52.3</v>
      </c>
      <c r="E16" s="12">
        <f>VLOOKUP(A16,Dataset!A11:T50,20,FALSE)</f>
        <v>106.1</v>
      </c>
      <c r="F16" s="8">
        <f>VLOOKUP(A16,Dataset!A11:V50,22,FALSE)</f>
        <v>52.3</v>
      </c>
    </row>
    <row r="17" spans="1:6" ht="14.5" x14ac:dyDescent="0.35">
      <c r="A17" s="7" t="s">
        <v>22</v>
      </c>
      <c r="B17" s="12">
        <f>VLOOKUP(A17,Dataset!A12:G51,7,FALSE)</f>
        <v>30.7</v>
      </c>
      <c r="C17" s="12">
        <f>VLOOKUP(A17,Dataset!A12:N51,14,FALSE)</f>
        <v>92.1</v>
      </c>
      <c r="D17" s="12">
        <f>VLOOKUP(A17,Dataset!A12:R51,18,FALSE)</f>
        <v>57</v>
      </c>
      <c r="E17" s="12">
        <f>VLOOKUP(A17,Dataset!A12:T51,20,FALSE)</f>
        <v>115.1</v>
      </c>
      <c r="F17" s="8">
        <f>VLOOKUP(A17,Dataset!A12:V51,22,FALSE)</f>
        <v>57</v>
      </c>
    </row>
    <row r="18" spans="1:6" ht="14.5" x14ac:dyDescent="0.35">
      <c r="A18" s="7" t="s">
        <v>23</v>
      </c>
      <c r="B18" s="12">
        <f>VLOOKUP(A18,Dataset!A13:G52,7,FALSE)</f>
        <v>33.799999999999997</v>
      </c>
      <c r="C18" s="12">
        <f>VLOOKUP(A18,Dataset!A13:N52,14,FALSE)</f>
        <v>101.3</v>
      </c>
      <c r="D18" s="12">
        <f>VLOOKUP(A18,Dataset!A13:R52,18,FALSE)</f>
        <v>61.4</v>
      </c>
      <c r="E18" s="12">
        <f>VLOOKUP(A18,Dataset!A13:T52,20,FALSE)</f>
        <v>124.4</v>
      </c>
      <c r="F18" s="8">
        <f>VLOOKUP(A18,Dataset!A13:V52,22,FALSE)</f>
        <v>61.4</v>
      </c>
    </row>
    <row r="19" spans="1:6" ht="14.5" x14ac:dyDescent="0.35">
      <c r="A19" s="7" t="s">
        <v>24</v>
      </c>
      <c r="B19" s="12">
        <f>VLOOKUP(A19,Dataset!A14:G53,7,FALSE)</f>
        <v>34.700000000000003</v>
      </c>
      <c r="C19" s="12">
        <f>VLOOKUP(A19,Dataset!A14:N53,14,FALSE)</f>
        <v>106.1</v>
      </c>
      <c r="D19" s="12">
        <f>VLOOKUP(A19,Dataset!A14:R53,18,FALSE)</f>
        <v>63.6</v>
      </c>
      <c r="E19" s="12">
        <f>VLOOKUP(A19,Dataset!A14:T53,20,FALSE)</f>
        <v>128.6</v>
      </c>
      <c r="F19" s="8">
        <f>VLOOKUP(A19,Dataset!A14:V53,22,FALSE)</f>
        <v>63.6</v>
      </c>
    </row>
    <row r="20" spans="1:6" ht="14.5" x14ac:dyDescent="0.35">
      <c r="A20" s="7" t="s">
        <v>28</v>
      </c>
      <c r="B20" s="12">
        <f>VLOOKUP(A20,Dataset!A15:G54,7,FALSE)</f>
        <v>0</v>
      </c>
      <c r="C20" s="12">
        <f>VLOOKUP(A20,Dataset!A15:N54,14,FALSE)</f>
        <v>0</v>
      </c>
      <c r="D20" s="12">
        <f>VLOOKUP(A20,Dataset!A15:R54,18,FALSE)</f>
        <v>0</v>
      </c>
      <c r="E20" s="12">
        <f>VLOOKUP(A20,Dataset!A15:T54,20,FALSE)</f>
        <v>0</v>
      </c>
      <c r="F20" s="8">
        <f>VLOOKUP(A20,Dataset!A15:V54,22,FALSE)</f>
        <v>0</v>
      </c>
    </row>
    <row r="21" spans="1:6" ht="14.5" x14ac:dyDescent="0.35">
      <c r="A21" s="7" t="s">
        <v>57</v>
      </c>
      <c r="B21" s="12">
        <f>VLOOKUP(A21,Dataset!A16:G55,7,FALSE)</f>
        <v>41.3</v>
      </c>
      <c r="C21" s="12">
        <f>VLOOKUP(A21,Dataset!A16:N55,14,FALSE)</f>
        <v>124.4</v>
      </c>
      <c r="D21" s="12">
        <f>VLOOKUP(A21,Dataset!A16:R55,18,FALSE)</f>
        <v>75</v>
      </c>
      <c r="E21" s="12">
        <f>VLOOKUP(A21,Dataset!A16:T55,20,FALSE)</f>
        <v>151.5</v>
      </c>
      <c r="F21" s="8">
        <f>VLOOKUP(A21,Dataset!A16:V55,22,FALSE)</f>
        <v>75</v>
      </c>
    </row>
    <row r="22" spans="1:6" ht="14.5" x14ac:dyDescent="0.35">
      <c r="A22" s="7" t="s">
        <v>58</v>
      </c>
      <c r="B22" s="12">
        <f>VLOOKUP(A22,Dataset!A17:G56,7,FALSE)</f>
        <v>-1</v>
      </c>
      <c r="C22" s="12">
        <f>VLOOKUP(A22,Dataset!A17:N56,14,FALSE)</f>
        <v>-1</v>
      </c>
      <c r="D22" s="12">
        <f>VLOOKUP(A22,Dataset!A17:R56,18,FALSE)</f>
        <v>-1</v>
      </c>
      <c r="E22" s="12">
        <f>VLOOKUP(A22,Dataset!A17:T56,20,FALSE)</f>
        <v>-1</v>
      </c>
      <c r="F22" s="8">
        <f>VLOOKUP(A22,Dataset!A17:V56,22,FALSE)</f>
        <v>-1</v>
      </c>
    </row>
    <row r="23" spans="1:6" ht="14.5" x14ac:dyDescent="0.35">
      <c r="A23" s="7" t="s">
        <v>31</v>
      </c>
      <c r="B23" s="12">
        <f>VLOOKUP(A23,Dataset!A18:G57,7,FALSE)</f>
        <v>45</v>
      </c>
      <c r="C23" s="12">
        <f>VLOOKUP(A23,Dataset!A18:N57,14,FALSE)</f>
        <v>133.4</v>
      </c>
      <c r="D23" s="12">
        <f>VLOOKUP(A23,Dataset!A18:R57,18,FALSE)</f>
        <v>79.400000000000006</v>
      </c>
      <c r="E23" s="12">
        <f>VLOOKUP(A23,Dataset!A18:T57,20,FALSE)</f>
        <v>160.9</v>
      </c>
      <c r="F23" s="8">
        <f>VLOOKUP(A23,Dataset!A18:V57,22,FALSE)</f>
        <v>79.400000000000006</v>
      </c>
    </row>
    <row r="24" spans="1:6" ht="14.5" x14ac:dyDescent="0.35">
      <c r="A24" s="7" t="s">
        <v>32</v>
      </c>
      <c r="B24" s="12">
        <f>VLOOKUP(A24,Dataset!A19:G58,7,FALSE)</f>
        <v>-1</v>
      </c>
      <c r="C24" s="12">
        <f>VLOOKUP(A24,Dataset!A19:N58,14,FALSE)</f>
        <v>-1</v>
      </c>
      <c r="D24" s="12">
        <f>VLOOKUP(A24,Dataset!A19:R58,18,FALSE)</f>
        <v>-1</v>
      </c>
      <c r="E24" s="12">
        <f>VLOOKUP(A24,Dataset!A19:T58,20,FALSE)</f>
        <v>-1</v>
      </c>
      <c r="F24" s="8">
        <f>VLOOKUP(A24,Dataset!A19:V58,22,FALSE)</f>
        <v>-1</v>
      </c>
    </row>
    <row r="25" spans="1:6" ht="14.5" x14ac:dyDescent="0.35">
      <c r="A25" s="7" t="s">
        <v>34</v>
      </c>
      <c r="B25" s="12">
        <f>VLOOKUP(A25,Dataset!A20:G59,7,FALSE)</f>
        <v>43.3</v>
      </c>
      <c r="C25" s="12">
        <f>VLOOKUP(A25,Dataset!A20:N59,14,FALSE)</f>
        <v>128.6</v>
      </c>
      <c r="D25" s="12">
        <f>VLOOKUP(A25,Dataset!A20:R59,18,FALSE)</f>
        <v>79.400000000000006</v>
      </c>
      <c r="E25" s="12">
        <f>VLOOKUP(A25,Dataset!A20:T59,20,FALSE)</f>
        <v>160.9</v>
      </c>
      <c r="F25" s="8">
        <f>VLOOKUP(A25,Dataset!A20:V59,22,FALSE)</f>
        <v>79.400000000000006</v>
      </c>
    </row>
    <row r="26" spans="1:6" ht="14.5" x14ac:dyDescent="0.35">
      <c r="A26" s="7" t="s">
        <v>37</v>
      </c>
      <c r="B26" s="12">
        <f>VLOOKUP(A26,Dataset!A21:G60,7,FALSE)</f>
        <v>49.1</v>
      </c>
      <c r="C26" s="12">
        <f>VLOOKUP(A26,Dataset!A21:N60,14,FALSE)</f>
        <v>146.80000000000001</v>
      </c>
      <c r="D26" s="12">
        <f>VLOOKUP(A26,Dataset!A21:R60,18,FALSE)</f>
        <v>90.9</v>
      </c>
      <c r="E26" s="12">
        <f>VLOOKUP(A26,Dataset!A21:T60,20,FALSE)</f>
        <v>183.5</v>
      </c>
      <c r="F26" s="8">
        <f>VLOOKUP(A26,Dataset!A21:V60,22,FALSE)</f>
        <v>90.9</v>
      </c>
    </row>
    <row r="27" spans="1:6" ht="14.5" x14ac:dyDescent="0.35">
      <c r="A27" s="7" t="s">
        <v>39</v>
      </c>
      <c r="B27" s="12">
        <f>VLOOKUP(A27,Dataset!A22:G61,7,FALSE)</f>
        <v>51.8</v>
      </c>
      <c r="C27" s="12">
        <f>VLOOKUP(A27,Dataset!A22:N61,14,FALSE)</f>
        <v>156.4</v>
      </c>
      <c r="D27" s="12">
        <f>VLOOKUP(A27,Dataset!A22:R61,18,FALSE)</f>
        <v>93.1</v>
      </c>
      <c r="E27" s="12">
        <f>VLOOKUP(A27,Dataset!A22:T61,20,FALSE)</f>
        <v>188.1</v>
      </c>
      <c r="F27" s="8">
        <f>VLOOKUP(A27,Dataset!A22:V61,22,FALSE)</f>
        <v>93.1</v>
      </c>
    </row>
    <row r="28" spans="1:6" ht="14.5" x14ac:dyDescent="0.35">
      <c r="A28" s="19" t="s">
        <v>82</v>
      </c>
      <c r="B28" s="46">
        <f>MIN(B6:B27)</f>
        <v>-1</v>
      </c>
      <c r="C28" s="46">
        <f>MIN(C6:C27)</f>
        <v>-1</v>
      </c>
      <c r="D28" s="46">
        <f t="shared" ref="D28:E28" si="0">MIN(D6:D27)</f>
        <v>-1</v>
      </c>
      <c r="E28" s="46">
        <f t="shared" si="0"/>
        <v>-1</v>
      </c>
      <c r="F28" s="46">
        <f>MIN(F6:F27)</f>
        <v>-1</v>
      </c>
    </row>
    <row r="29" spans="1:6" ht="14.5" x14ac:dyDescent="0.35">
      <c r="A29" s="19" t="s">
        <v>83</v>
      </c>
      <c r="B29" s="46">
        <f>MAX(B6:B27)</f>
        <v>51.8</v>
      </c>
      <c r="C29" s="46">
        <f t="shared" ref="C29:F29" si="1">MAX(C6:C27)</f>
        <v>156.4</v>
      </c>
      <c r="D29" s="46">
        <f t="shared" si="1"/>
        <v>93.1</v>
      </c>
      <c r="E29" s="46">
        <f t="shared" si="1"/>
        <v>188.1</v>
      </c>
      <c r="F29" s="46">
        <f t="shared" si="1"/>
        <v>93.1</v>
      </c>
    </row>
    <row r="30" spans="1:6" ht="14.5" x14ac:dyDescent="0.35">
      <c r="A30" s="19" t="s">
        <v>84</v>
      </c>
      <c r="B30" s="46">
        <f>AVERAGE(B6:B27)</f>
        <v>20.827272727272728</v>
      </c>
      <c r="C30" s="46">
        <f t="shared" ref="C30:F30" si="2">AVERAGE(C6:C27)</f>
        <v>62.377272727272725</v>
      </c>
      <c r="D30" s="46">
        <f t="shared" si="2"/>
        <v>37.800000000000004</v>
      </c>
      <c r="E30" s="46">
        <f t="shared" si="2"/>
        <v>76.418181818181822</v>
      </c>
      <c r="F30" s="46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B5" sqref="B5"/>
    </sheetView>
  </sheetViews>
  <sheetFormatPr defaultColWidth="11" defaultRowHeight="14.5" x14ac:dyDescent="0.35"/>
  <cols>
    <col min="1" max="1" width="39.796875" style="1" bestFit="1" customWidth="1"/>
    <col min="2" max="7" width="11" style="1"/>
    <col min="8" max="8" width="15.09765625" style="1" customWidth="1"/>
    <col min="9" max="9" width="24.59765625" style="1" customWidth="1"/>
    <col min="10" max="16384" width="11" style="1"/>
  </cols>
  <sheetData>
    <row r="1" spans="1:10" s="40" customFormat="1" ht="21" x14ac:dyDescent="0.5">
      <c r="A1" s="41" t="s">
        <v>56</v>
      </c>
      <c r="B1" s="40" t="s">
        <v>175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152</v>
      </c>
    </row>
    <row r="5" spans="1:10" ht="18.5" x14ac:dyDescent="0.45">
      <c r="A5" s="42" t="s">
        <v>53</v>
      </c>
      <c r="B5" s="39" t="s">
        <v>182</v>
      </c>
    </row>
    <row r="6" spans="1:10" ht="18.5" x14ac:dyDescent="0.45">
      <c r="A6" s="42" t="s">
        <v>154</v>
      </c>
      <c r="B6" s="39" t="s">
        <v>181</v>
      </c>
      <c r="I6" s="1" t="s">
        <v>180</v>
      </c>
    </row>
    <row r="7" spans="1:10" ht="18.5" x14ac:dyDescent="0.45">
      <c r="A7" s="42"/>
      <c r="B7" s="39"/>
    </row>
    <row r="9" spans="1:10" ht="23.5" x14ac:dyDescent="0.55000000000000004">
      <c r="A9" s="18" t="s">
        <v>166</v>
      </c>
      <c r="I9" s="2"/>
      <c r="J9" s="2"/>
    </row>
    <row r="10" spans="1:10" x14ac:dyDescent="0.3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163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  <c r="I15" s="7"/>
    </row>
    <row r="16" spans="1:10" x14ac:dyDescent="0.35">
      <c r="A16" s="7" t="s">
        <v>122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123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124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125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126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127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128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129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130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131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132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133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134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135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136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137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138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139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140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141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142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143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144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145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146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147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148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149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150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151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113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114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115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116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117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118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119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120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121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85</v>
      </c>
      <c r="B1" s="40" t="s">
        <v>168</v>
      </c>
    </row>
    <row r="2" spans="1:3" ht="18.5" x14ac:dyDescent="0.45">
      <c r="B2" s="39" t="s">
        <v>167</v>
      </c>
    </row>
    <row r="5" spans="1:3" ht="14.5" x14ac:dyDescent="0.35">
      <c r="B5" s="1" t="s">
        <v>152</v>
      </c>
    </row>
    <row r="6" spans="1:3" ht="14.5" x14ac:dyDescent="0.35">
      <c r="A6" s="3" t="s">
        <v>53</v>
      </c>
      <c r="B6" s="1" t="s">
        <v>183</v>
      </c>
    </row>
    <row r="7" spans="1:3" ht="14.5" x14ac:dyDescent="0.35">
      <c r="A7" s="3" t="s">
        <v>154</v>
      </c>
      <c r="B7" s="1" t="s">
        <v>179</v>
      </c>
    </row>
    <row r="8" spans="1:3" x14ac:dyDescent="0.3">
      <c r="B8" s="2" t="s">
        <v>184</v>
      </c>
    </row>
    <row r="10" spans="1:3" ht="23.5" x14ac:dyDescent="0.55000000000000004">
      <c r="A10" s="18" t="s">
        <v>163</v>
      </c>
    </row>
    <row r="11" spans="1:3" ht="14.5" x14ac:dyDescent="0.35">
      <c r="A11" s="31" t="s">
        <v>86</v>
      </c>
      <c r="B11" s="17" t="s">
        <v>87</v>
      </c>
      <c r="C11" s="17" t="s">
        <v>88</v>
      </c>
    </row>
    <row r="12" spans="1:3" ht="14.5" x14ac:dyDescent="0.35">
      <c r="A12" s="31">
        <v>44927</v>
      </c>
      <c r="B12" s="17" t="s">
        <v>59</v>
      </c>
      <c r="C12" s="17">
        <v>200</v>
      </c>
    </row>
    <row r="13" spans="1:3" ht="14.5" x14ac:dyDescent="0.35">
      <c r="A13" s="31">
        <v>44928</v>
      </c>
      <c r="B13" s="17" t="s">
        <v>60</v>
      </c>
      <c r="C13" s="17">
        <v>20</v>
      </c>
    </row>
    <row r="14" spans="1:3" ht="14.5" x14ac:dyDescent="0.35">
      <c r="A14" s="31">
        <v>44929</v>
      </c>
      <c r="B14" s="17" t="s">
        <v>61</v>
      </c>
      <c r="C14" s="17">
        <v>50</v>
      </c>
    </row>
    <row r="15" spans="1:3" ht="14.5" x14ac:dyDescent="0.35">
      <c r="A15" s="31">
        <v>44930</v>
      </c>
      <c r="B15" s="17" t="s">
        <v>62</v>
      </c>
      <c r="C15" s="17">
        <v>20</v>
      </c>
    </row>
    <row r="16" spans="1:3" ht="14.5" x14ac:dyDescent="0.35">
      <c r="A16" s="31">
        <v>44931</v>
      </c>
      <c r="B16" s="17" t="s">
        <v>63</v>
      </c>
      <c r="C16" s="17">
        <v>10</v>
      </c>
    </row>
    <row r="17" spans="1:3" ht="14.5" x14ac:dyDescent="0.35">
      <c r="A17" s="31">
        <v>44932</v>
      </c>
      <c r="B17" s="17" t="s">
        <v>155</v>
      </c>
      <c r="C17" s="17">
        <v>150</v>
      </c>
    </row>
    <row r="18" spans="1:3" ht="14.5" x14ac:dyDescent="0.35">
      <c r="A18" s="31">
        <v>44933</v>
      </c>
      <c r="B18" s="17" t="s">
        <v>156</v>
      </c>
      <c r="C18" s="17">
        <v>80</v>
      </c>
    </row>
    <row r="19" spans="1:3" ht="14.5" x14ac:dyDescent="0.35">
      <c r="A19" s="31">
        <v>44934</v>
      </c>
      <c r="B19" s="17" t="s">
        <v>157</v>
      </c>
      <c r="C19" s="17">
        <v>20</v>
      </c>
    </row>
    <row r="20" spans="1:3" ht="14.5" x14ac:dyDescent="0.35">
      <c r="A20" s="31">
        <v>44935</v>
      </c>
      <c r="B20" s="17" t="s">
        <v>158</v>
      </c>
      <c r="C20" s="17">
        <v>30</v>
      </c>
    </row>
    <row r="21" spans="1:3" ht="14.5" x14ac:dyDescent="0.35">
      <c r="A21" s="31">
        <v>44936</v>
      </c>
      <c r="B21" s="17" t="s">
        <v>159</v>
      </c>
      <c r="C21" s="17">
        <v>20</v>
      </c>
    </row>
    <row r="22" spans="1:3" ht="14.5" x14ac:dyDescent="0.35">
      <c r="B22" s="19" t="s">
        <v>160</v>
      </c>
      <c r="C22" s="26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K21" sqref="K21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98</v>
      </c>
      <c r="B1" s="40" t="s">
        <v>176</v>
      </c>
    </row>
    <row r="3" spans="1:14" ht="14.5" x14ac:dyDescent="0.35">
      <c r="B3" s="1" t="s">
        <v>152</v>
      </c>
    </row>
    <row r="4" spans="1:14" ht="18.5" x14ac:dyDescent="0.45">
      <c r="A4" s="42" t="s">
        <v>53</v>
      </c>
      <c r="B4" s="1"/>
    </row>
    <row r="5" spans="1:14" ht="18.5" x14ac:dyDescent="0.45">
      <c r="A5" s="42" t="s">
        <v>154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163</v>
      </c>
      <c r="M8" s="18" t="s">
        <v>164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169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3"/>
    </row>
    <row r="24" spans="1:14" ht="14.5" x14ac:dyDescent="0.35">
      <c r="A24" s="7">
        <v>10100</v>
      </c>
      <c r="B24" s="12">
        <v>10104</v>
      </c>
      <c r="C24" s="43"/>
    </row>
    <row r="25" spans="1:14" ht="14.5" x14ac:dyDescent="0.35">
      <c r="A25" s="7">
        <v>10108</v>
      </c>
      <c r="B25" s="12">
        <v>10102</v>
      </c>
      <c r="C25" s="43"/>
    </row>
    <row r="26" spans="1:14" ht="14.5" x14ac:dyDescent="0.35">
      <c r="A26" s="7">
        <v>10100</v>
      </c>
      <c r="B26" s="12">
        <v>10106</v>
      </c>
      <c r="C26" s="43"/>
    </row>
    <row r="27" spans="1:14" ht="14.5" x14ac:dyDescent="0.35">
      <c r="A27" s="7">
        <v>10108</v>
      </c>
      <c r="B27" s="12">
        <v>10110</v>
      </c>
      <c r="C27" s="43"/>
    </row>
    <row r="28" spans="1:14" ht="14.5" x14ac:dyDescent="0.35">
      <c r="A28" s="7">
        <v>10102</v>
      </c>
      <c r="B28" s="12">
        <v>10104</v>
      </c>
      <c r="C28" s="43"/>
    </row>
    <row r="29" spans="1:14" ht="14.5" x14ac:dyDescent="0.35">
      <c r="A29" s="7">
        <v>10106</v>
      </c>
      <c r="B29" s="12">
        <v>10108</v>
      </c>
      <c r="C29" s="43"/>
    </row>
    <row r="30" spans="1:14" ht="14.5" x14ac:dyDescent="0.35">
      <c r="A30" s="7">
        <v>10102</v>
      </c>
      <c r="B30" s="12">
        <v>10106</v>
      </c>
      <c r="C30" s="43"/>
    </row>
    <row r="31" spans="1:14" ht="14.5" x14ac:dyDescent="0.35">
      <c r="A31" s="7">
        <v>10110</v>
      </c>
      <c r="B31" s="12">
        <v>10114</v>
      </c>
      <c r="C31" s="43"/>
    </row>
    <row r="32" spans="1:14" ht="14.5" x14ac:dyDescent="0.35">
      <c r="A32" s="7">
        <v>10104</v>
      </c>
      <c r="B32" s="12">
        <v>10106</v>
      </c>
      <c r="C32" s="43"/>
    </row>
    <row r="33" spans="1:3" ht="14.5" x14ac:dyDescent="0.35">
      <c r="A33" s="7">
        <v>10110</v>
      </c>
      <c r="B33" s="12">
        <v>10112</v>
      </c>
      <c r="C33" s="43"/>
    </row>
    <row r="34" spans="1:3" ht="14.5" x14ac:dyDescent="0.35">
      <c r="A34" s="7">
        <v>10100</v>
      </c>
      <c r="B34" s="12">
        <v>10114</v>
      </c>
      <c r="C34" s="43"/>
    </row>
    <row r="35" spans="1:3" ht="14.5" x14ac:dyDescent="0.35">
      <c r="A35" s="9">
        <v>10112</v>
      </c>
      <c r="B35" s="13">
        <v>10116</v>
      </c>
      <c r="C35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Pradnya Khobragade</cp:lastModifiedBy>
  <dcterms:created xsi:type="dcterms:W3CDTF">2015-02-10T17:33:11Z</dcterms:created>
  <dcterms:modified xsi:type="dcterms:W3CDTF">2023-12-11T15:33:02Z</dcterms:modified>
</cp:coreProperties>
</file>